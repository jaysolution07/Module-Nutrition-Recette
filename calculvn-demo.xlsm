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romesaveurs-my.sharepoint.com/personal/samuel_drome-saveurs_com/Documents/Bureau/JaySolution/Démos/"/>
    </mc:Choice>
  </mc:AlternateContent>
  <xr:revisionPtr revIDLastSave="637" documentId="8_{A98B8928-CEE4-474B-80FC-C71E8499FB18}" xr6:coauthVersionLast="47" xr6:coauthVersionMax="47" xr10:uidLastSave="{72D76E98-8046-4FD0-A717-DF725E322DA0}"/>
  <workbookProtection workbookAlgorithmName="SHA-512" workbookHashValue="PpagvOihuJzwRwS/S5Y5tIb4LvhIYmoCBcpi/dbEhqucBoB4VyUClu374/4xPYDzADUCkyXt7mSxgVnmD26IvA==" workbookSaltValue="Cm2TsMyczzlAOV8ahOq5dg==" workbookSpinCount="100000" lockStructure="1"/>
  <bookViews>
    <workbookView xWindow="-108" yWindow="-108" windowWidth="23256" windowHeight="12456" xr2:uid="{EC5087F2-9436-4229-A44C-253AB22A5CE2}"/>
  </bookViews>
  <sheets>
    <sheet name="Tablau de bord" sheetId="5" r:id="rId1"/>
    <sheet name="Recettes" sheetId="1" state="hidden" r:id="rId2"/>
    <sheet name="Ing.Nutri" sheetId="4" state="veryHidden" r:id="rId3"/>
    <sheet name="Stock" sheetId="6" state="hidden" r:id="rId4"/>
  </sheets>
  <definedNames>
    <definedName name="_xlnm.Print_Area" localSheetId="2">Ing.Nutri!$A$1:$E$46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S2" i="1" l="1"/>
  <c r="R2" i="1"/>
  <c r="Q2" i="1"/>
  <c r="P2" i="1"/>
  <c r="O2" i="1"/>
  <c r="N2" i="1"/>
  <c r="M2" i="1"/>
  <c r="L2" i="1"/>
</calcChain>
</file>

<file path=xl/sharedStrings.xml><?xml version="1.0" encoding="utf-8"?>
<sst xmlns="http://schemas.openxmlformats.org/spreadsheetml/2006/main" count="54" uniqueCount="37">
  <si>
    <t>Ingrédient</t>
  </si>
  <si>
    <t>Quantité (kg)</t>
  </si>
  <si>
    <t>%Recette</t>
  </si>
  <si>
    <t>Déclaration nutritionelle/100g</t>
  </si>
  <si>
    <t>Kcal</t>
  </si>
  <si>
    <t>KJoule</t>
  </si>
  <si>
    <t>Gras</t>
  </si>
  <si>
    <t xml:space="preserve">Calories : </t>
  </si>
  <si>
    <t xml:space="preserve">Gras : </t>
  </si>
  <si>
    <t>g</t>
  </si>
  <si>
    <t>Glucides</t>
  </si>
  <si>
    <t xml:space="preserve">dont sucres : </t>
  </si>
  <si>
    <t xml:space="preserve">Protéines : </t>
  </si>
  <si>
    <t xml:space="preserve">Sel : </t>
  </si>
  <si>
    <t>Kjoule</t>
  </si>
  <si>
    <t>Dont sucres</t>
  </si>
  <si>
    <t>Protéines</t>
  </si>
  <si>
    <t>Sel</t>
  </si>
  <si>
    <t>dont AGS</t>
  </si>
  <si>
    <t>%Kcal</t>
  </si>
  <si>
    <t>%Kjoule</t>
  </si>
  <si>
    <t>%Gras</t>
  </si>
  <si>
    <t>%dont AGS</t>
  </si>
  <si>
    <t>%Glucides</t>
  </si>
  <si>
    <t>%Dont sucres</t>
  </si>
  <si>
    <t>%Protéines</t>
  </si>
  <si>
    <t>%Sel</t>
  </si>
  <si>
    <t xml:space="preserve">Poids total en kg : </t>
  </si>
  <si>
    <t xml:space="preserve">Glucides : </t>
  </si>
  <si>
    <t xml:space="preserve">dont acides gras saturés :  </t>
  </si>
  <si>
    <t>Recette1</t>
  </si>
  <si>
    <r>
      <t xml:space="preserve">Ingrédients </t>
    </r>
    <r>
      <rPr>
        <sz val="11"/>
        <color theme="1"/>
        <rFont val="Calibri"/>
        <family val="2"/>
        <scheme val="minor"/>
      </rPr>
      <t>(allergène en majuscule)</t>
    </r>
  </si>
  <si>
    <t xml:space="preserve">Nom Recette : </t>
  </si>
  <si>
    <t>tomate</t>
  </si>
  <si>
    <t>eau</t>
  </si>
  <si>
    <t>citron</t>
  </si>
  <si>
    <t>sucre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</si>
</sst>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 wrapText="1"/>
    </xf>
    <xf numFmtId="0" fontId="0" fillId="2" borderId="0" xfId="0" applyFill="1"/>
    <xf numFmtId="0" fontId="3" fillId="3" borderId="2" xfId="0" applyFont="1" applyFill="1" applyBorder="1"/>
    <xf numFmtId="0" fontId="0" fillId="0" borderId="0" xfId="0" applyNumberFormat="1"/>
    <xf numFmtId="2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left" vertical="top"/>
    </xf>
    <xf numFmtId="2" fontId="0" fillId="0" borderId="1" xfId="0" applyNumberFormat="1" applyBorder="1"/>
    <xf numFmtId="0" fontId="0" fillId="0" borderId="0" xfId="0" applyAlignment="1">
      <alignment horizontal="right"/>
    </xf>
    <xf numFmtId="0" fontId="0" fillId="0" borderId="0" xfId="0" applyFont="1" applyFill="1"/>
    <xf numFmtId="0" fontId="4" fillId="2" borderId="0" xfId="0" applyFont="1" applyFill="1"/>
    <xf numFmtId="0" fontId="4" fillId="0" borderId="0" xfId="0" applyFont="1"/>
    <xf numFmtId="0" fontId="0" fillId="0" borderId="0" xfId="0" applyBorder="1" applyAlignment="1">
      <alignment horizontal="right"/>
    </xf>
    <xf numFmtId="2" fontId="0" fillId="0" borderId="0" xfId="0" applyNumberFormat="1" applyBorder="1" applyAlignment="1">
      <alignment horizontal="left" vertical="top"/>
    </xf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horizontal="right"/>
    </xf>
    <xf numFmtId="0" fontId="0" fillId="0" borderId="0" xfId="0"/>
  </cellXfs>
  <cellStyles count="1">
    <cellStyle name="Normal" xfId="0" builtinId="0"/>
  </cellStyles>
  <dxfs count="14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129817</xdr:colOff>
      <xdr:row>0</xdr:row>
      <xdr:rowOff>146684</xdr:rowOff>
    </xdr:from>
    <xdr:to>
      <xdr:col>4</xdr:col>
      <xdr:colOff>240031</xdr:colOff>
      <xdr:row>27</xdr:row>
      <xdr:rowOff>137159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A8DC55DF-1B35-45C9-95D7-623F95271514}"/>
            </a:ext>
          </a:extLst>
        </xdr:cNvPr>
        <xdr:cNvGrpSpPr/>
      </xdr:nvGrpSpPr>
      <xdr:grpSpPr>
        <a:xfrm>
          <a:off x="129817" y="146684"/>
          <a:ext cx="3249654" cy="4928235"/>
          <a:chOff x="42188" y="-7949"/>
          <a:chExt cx="3249071" cy="5009650"/>
        </a:xfrm>
      </xdr:grpSpPr>
      <xdr:sp macro="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75C7DC60-A19B-4643-9FBF-234197188032}"/>
              </a:ext>
            </a:extLst>
          </xdr:cNvPr>
          <xdr:cNvSpPr/>
        </xdr:nvSpPr>
        <xdr:spPr>
          <a:xfrm>
            <a:off x="42188" y="1542224"/>
            <a:ext cx="3233834" cy="3459477"/>
          </a:xfrm>
          <a:prstGeom prst="roundRect">
            <a:avLst>
              <a:gd name="adj" fmla="val 2811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002060"/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69F7851F-708E-4973-9E05-267C4A2231DF}"/>
              </a:ext>
            </a:extLst>
          </xdr:cNvPr>
          <xdr:cNvSpPr/>
        </xdr:nvSpPr>
        <xdr:spPr>
          <a:xfrm>
            <a:off x="47627" y="-7949"/>
            <a:ext cx="3243632" cy="1423307"/>
          </a:xfrm>
          <a:prstGeom prst="roundRect">
            <a:avLst>
              <a:gd name="adj" fmla="val 4686"/>
            </a:avLst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002060"/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2400" b="1">
                <a:gradFill>
                  <a:gsLst>
                    <a:gs pos="0">
                      <a:srgbClr val="FF0000"/>
                    </a:gs>
                    <a:gs pos="74000">
                      <a:srgbClr val="002060"/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effectLst>
                  <a:glow rad="50800">
                    <a:srgbClr val="FF0000"/>
                  </a:glow>
                </a:effectLst>
              </a:rPr>
              <a:t>Elaboration de recette et calcul</a:t>
            </a:r>
            <a:r>
              <a:rPr lang="fr-FR" sz="2400" b="1" baseline="0">
                <a:gradFill>
                  <a:gsLst>
                    <a:gs pos="0">
                      <a:srgbClr val="FF0000"/>
                    </a:gs>
                    <a:gs pos="74000">
                      <a:srgbClr val="002060"/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effectLst>
                  <a:glow rad="50800">
                    <a:srgbClr val="FF0000"/>
                  </a:glow>
                </a:effectLst>
              </a:rPr>
              <a:t> des valeurs nutritionnelles</a:t>
            </a:r>
            <a:endParaRPr lang="fr-FR" sz="2400" b="1">
              <a:gradFill>
                <a:gsLst>
                  <a:gs pos="0">
                    <a:srgbClr val="FF0000"/>
                  </a:gs>
                  <a:gs pos="74000">
                    <a:srgbClr val="002060"/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effectLst>
                <a:glow rad="50800">
                  <a:srgbClr val="FF0000"/>
                </a:glow>
              </a:effectLst>
            </a:endParaRPr>
          </a:p>
        </xdr:txBody>
      </xdr:sp>
    </xdr:grpSp>
    <xdr:clientData/>
  </xdr:twoCellAnchor>
  <xdr:twoCellAnchor>
    <xdr:from>
      <xdr:col>1</xdr:col>
      <xdr:colOff>74295</xdr:colOff>
      <xdr:row>12</xdr:row>
      <xdr:rowOff>144285</xdr:rowOff>
    </xdr:from>
    <xdr:to>
      <xdr:col>3</xdr:col>
      <xdr:colOff>303829</xdr:colOff>
      <xdr:row>24</xdr:row>
      <xdr:rowOff>7621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543A7CF7-BE67-4A71-8B4D-58883B80FE06}"/>
            </a:ext>
          </a:extLst>
        </xdr:cNvPr>
        <xdr:cNvGrpSpPr/>
      </xdr:nvGrpSpPr>
      <xdr:grpSpPr>
        <a:xfrm>
          <a:off x="859155" y="2338845"/>
          <a:ext cx="1799254" cy="2057896"/>
          <a:chOff x="1892616" y="1340625"/>
          <a:chExt cx="1123950" cy="1399920"/>
        </a:xfrm>
      </xdr:grpSpPr>
      <xdr:sp macro="[0]!ouvrirformulaireRECETTE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3C02498-7C21-4160-8F5B-6303716859D8}"/>
              </a:ext>
            </a:extLst>
          </xdr:cNvPr>
          <xdr:cNvSpPr txBox="1"/>
        </xdr:nvSpPr>
        <xdr:spPr>
          <a:xfrm>
            <a:off x="1892616" y="2454795"/>
            <a:ext cx="112395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800" b="1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rPr>
              <a:t>MES RECETTES</a:t>
            </a:r>
          </a:p>
        </xdr:txBody>
      </xdr:sp>
      <xdr:pic macro="[0]!ouvrirformulaireRECETTE">
        <xdr:nvPicPr>
          <xdr:cNvPr id="7" name="Image 6">
            <a:extLst>
              <a:ext uri="{FF2B5EF4-FFF2-40B4-BE49-F238E27FC236}">
                <a16:creationId xmlns:a16="http://schemas.microsoft.com/office/drawing/2014/main" id="{0D310CF8-CDF1-4C26-AEAD-8FE447AEB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2600" y="1340625"/>
            <a:ext cx="1080000" cy="10800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236220</xdr:colOff>
      <xdr:row>9</xdr:row>
      <xdr:rowOff>137160</xdr:rowOff>
    </xdr:from>
    <xdr:to>
      <xdr:col>1</xdr:col>
      <xdr:colOff>137160</xdr:colOff>
      <xdr:row>13</xdr:row>
      <xdr:rowOff>91440</xdr:rowOff>
    </xdr:to>
    <xdr:pic macro="[0]!ouvrirformulaireSTOCK">
      <xdr:nvPicPr>
        <xdr:cNvPr id="6" name="Image 5">
          <a:extLst>
            <a:ext uri="{FF2B5EF4-FFF2-40B4-BE49-F238E27FC236}">
              <a16:creationId xmlns:a16="http://schemas.microsoft.com/office/drawing/2014/main" id="{4FF59B56-0112-453E-A340-275AF79C0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1783080"/>
          <a:ext cx="68580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088376-E590-4555-A7BC-519C8358CCB0}" name="Recette1" displayName="Recette1" ref="A1:S2" totalsRowShown="0">
  <autoFilter ref="A1:S2" xr:uid="{6A088376-E590-4555-A7BC-519C8358CCB0}"/>
  <tableColumns count="19">
    <tableColumn id="23" xr3:uid="{15EFD5B0-FFE5-4B65-ABB1-6C8425E8B17D}" name="Ingrédient"/>
    <tableColumn id="2" xr3:uid="{921C2220-2A88-436A-9B77-2A503A876EAB}" name="Quantité (kg)" dataDxfId="13"/>
    <tableColumn id="3" xr3:uid="{796EC2F1-A1F1-4BF3-BF99-5EE0CDFF97B5}" name="%Recette"/>
    <tableColumn id="5" xr3:uid="{F1CB6E39-9504-42F9-AC49-72BF41A43465}" name="Kcal"/>
    <tableColumn id="6" xr3:uid="{ABE7FF8D-1116-4A82-8629-DD13894D9E50}" name="Kjoule"/>
    <tableColumn id="7" xr3:uid="{1582085E-CF1B-4098-B835-D9D6EA2DA3A4}" name="Gras"/>
    <tableColumn id="8" xr3:uid="{D497D26C-A59C-4D72-AAE5-0BF0E59F0C01}" name="dont AGS"/>
    <tableColumn id="9" xr3:uid="{2250D204-D44B-4616-BAD0-0BF64BB39CF6}" name="Glucides"/>
    <tableColumn id="10" xr3:uid="{59601690-1D78-49C8-BD07-5BB08876185F}" name="Dont sucres"/>
    <tableColumn id="11" xr3:uid="{F6AE7C75-6985-4F15-8382-2B774BFF718A}" name="Protéines"/>
    <tableColumn id="12" xr3:uid="{85DE0637-F10B-43A1-BF10-20C5A17D85D3}" name="Sel"/>
    <tableColumn id="14" xr3:uid="{64DE37F8-9C83-40D6-8E1E-333103F68A01}" name="%Kcal">
      <calculatedColumnFormula>Recette1[[#This Row],[Kcal]]*(Recette1[[#This Row],[%Recette]]/100)</calculatedColumnFormula>
    </tableColumn>
    <tableColumn id="15" xr3:uid="{3257511F-0810-4C65-85C9-70201DCCC2CD}" name="%Kjoule">
      <calculatedColumnFormula>Recette1[[#This Row],[Kjoule]]*(Recette1[[#This Row],[%Recette]]/100)</calculatedColumnFormula>
    </tableColumn>
    <tableColumn id="16" xr3:uid="{C30AD9A5-D5A2-487A-94CF-829F7C8E1D86}" name="%Gras">
      <calculatedColumnFormula>Recette1[[#This Row],[Gras]]*(Recette1[[#This Row],[%Recette]]/100)</calculatedColumnFormula>
    </tableColumn>
    <tableColumn id="17" xr3:uid="{215B8E43-4B59-46B4-9438-AE9211336148}" name="%dont AGS">
      <calculatedColumnFormula>Recette1[[#This Row],[dont AGS]]*(Recette1[[#This Row],[%Recette]]/100)</calculatedColumnFormula>
    </tableColumn>
    <tableColumn id="18" xr3:uid="{54202B5A-4B81-4043-8223-93592CF50410}" name="%Glucides">
      <calculatedColumnFormula>Recette1[[#This Row],[Glucides]]*(Recette1[[#This Row],[%Recette]]/100)</calculatedColumnFormula>
    </tableColumn>
    <tableColumn id="19" xr3:uid="{DB2784F9-7301-41D7-9E0B-DC15ED6F3D1D}" name="%Dont sucres">
      <calculatedColumnFormula>Recette1[[#This Row],[Dont sucres]]*(Recette1[[#This Row],[%Recette]]/100)</calculatedColumnFormula>
    </tableColumn>
    <tableColumn id="20" xr3:uid="{54EAD82C-6D2B-40D0-A3C8-78D9EDC8A0CB}" name="%Protéines">
      <calculatedColumnFormula>Recette1[[#This Row],[Protéines]]*(Recette1[[#This Row],[%Recette]]/100)</calculatedColumnFormula>
    </tableColumn>
    <tableColumn id="21" xr3:uid="{F545967A-864B-42F1-AE81-E9A2E4D93D45}" name="%Sel">
      <calculatedColumnFormula>Recette1[[#This Row],[Sel]]*(Recette1[[#This Row],[%Recette]]/100)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C9B7D2-487D-4BD5-A3A6-9FE5D76C531D}" name="TSTOCK" displayName="TSTOCK" ref="A1:I5" totalsRowShown="0" headerRowDxfId="12" dataDxfId="10" headerRowBorderDxfId="11" tableBorderDxfId="9">
  <autoFilter ref="A1:I5" xr:uid="{0EC9B7D2-487D-4BD5-A3A6-9FE5D76C531D}"/>
  <tableColumns count="9">
    <tableColumn id="2" xr3:uid="{E4B91A81-57A1-4245-815F-5331AC3A1E00}" name="Ingrédient" dataDxfId="8"/>
    <tableColumn id="7" xr3:uid="{C8999193-6268-4803-BBD3-C61FF0859E4B}" name="Kcal" dataDxfId="7"/>
    <tableColumn id="8" xr3:uid="{E0BAE3CF-3EA1-4FF2-8D7F-540C71913686}" name="Kjoule" dataDxfId="6"/>
    <tableColumn id="9" xr3:uid="{EE11E6BB-9109-4F08-9E09-E99431B17575}" name="Gras" dataDxfId="5"/>
    <tableColumn id="10" xr3:uid="{790FF274-7756-48BC-A004-D40068412F43}" name="dont AGS" dataDxfId="4"/>
    <tableColumn id="11" xr3:uid="{D0082434-8FE9-4C33-83BA-FE7BD642C6A8}" name="Glucides" dataDxfId="3"/>
    <tableColumn id="12" xr3:uid="{B5326DFA-C38F-4BEA-B990-73B73A564DFD}" name="Dont sucres" dataDxfId="2"/>
    <tableColumn id="13" xr3:uid="{D1094555-0711-4AF3-835E-BAF48F790A68}" name="Protéines" dataDxfId="1"/>
    <tableColumn id="14" xr3:uid="{9DC7AD41-CBC2-469F-891C-A6116372503A}" name="Se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1ACD-E4D0-4D0A-AFD4-6F7135A76C9D}">
  <sheetPr codeName="Feuil1"/>
  <dimension ref="I14"/>
  <sheetViews>
    <sheetView tabSelected="1" zoomScaleNormal="100" workbookViewId="0">
      <selection activeCell="G8" sqref="G8"/>
    </sheetView>
  </sheetViews>
  <sheetFormatPr baseColWidth="10" defaultColWidth="11.44140625" defaultRowHeight="14.4" x14ac:dyDescent="0.3"/>
  <cols>
    <col min="1" max="16384" width="11.44140625" style="4"/>
  </cols>
  <sheetData>
    <row r="14" spans="9:9" x14ac:dyDescent="0.3">
      <c r="I14" s="12"/>
    </row>
  </sheetData>
  <sheetProtection algorithmName="SHA-512" hashValue="XnpVOvtlP+uiUqegJYDid2zZzPb57BY/CicX7b3Vnh+KwMle0qHsLdf4KFBPAEihynxDfpM4wrAO1wLifzXPww==" saltValue="CROr4/FocMY7Oy7ZwpFkVg==" spinCount="100000" sheet="1" object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D98B-3FCF-4482-A2C6-7B7D1FF759B5}">
  <sheetPr codeName="Feuil2"/>
  <dimension ref="A1:S10"/>
  <sheetViews>
    <sheetView workbookViewId="0">
      <selection activeCell="C2" sqref="C2"/>
    </sheetView>
  </sheetViews>
  <sheetFormatPr baseColWidth="10" defaultRowHeight="14.4" x14ac:dyDescent="0.3"/>
  <cols>
    <col min="1" max="1" width="11.88671875" customWidth="1"/>
    <col min="2" max="2" width="14.88671875" style="6" customWidth="1"/>
    <col min="3" max="3" width="14.88671875" customWidth="1"/>
    <col min="4" max="4" width="11.109375" customWidth="1"/>
    <col min="5" max="5" width="9" bestFit="1" customWidth="1"/>
    <col min="6" max="6" width="8.88671875" customWidth="1"/>
    <col min="7" max="7" width="11.5546875" bestFit="1" customWidth="1"/>
    <col min="9" max="10" width="13.44140625" customWidth="1"/>
    <col min="11" max="11" width="11.6640625" customWidth="1"/>
    <col min="15" max="16" width="13" customWidth="1"/>
    <col min="17" max="18" width="15" customWidth="1"/>
    <col min="19" max="19" width="13.33203125" customWidth="1"/>
  </cols>
  <sheetData>
    <row r="1" spans="1:19" ht="22.5" customHeight="1" x14ac:dyDescent="0.3">
      <c r="A1" t="s">
        <v>0</v>
      </c>
      <c r="B1" s="6" t="s">
        <v>1</v>
      </c>
      <c r="C1" t="s">
        <v>2</v>
      </c>
      <c r="D1" t="s">
        <v>4</v>
      </c>
      <c r="E1" t="s">
        <v>14</v>
      </c>
      <c r="F1" t="s">
        <v>6</v>
      </c>
      <c r="G1" t="s">
        <v>18</v>
      </c>
      <c r="H1" t="s">
        <v>10</v>
      </c>
      <c r="I1" t="s">
        <v>15</v>
      </c>
      <c r="J1" t="s">
        <v>16</v>
      </c>
      <c r="K1" t="s">
        <v>17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</row>
    <row r="2" spans="1:19" x14ac:dyDescent="0.3">
      <c r="A2" s="16" t="s">
        <v>34</v>
      </c>
      <c r="B2" s="6">
        <v>1</v>
      </c>
      <c r="C2" s="16">
        <v>100</v>
      </c>
      <c r="D2" s="16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6">
        <v>0</v>
      </c>
      <c r="K2" s="16">
        <v>0</v>
      </c>
      <c r="L2" s="16">
        <f>Recette1[[#This Row],[Kcal]]*(Recette1[[#This Row],[%Recette]]/100)</f>
        <v>0</v>
      </c>
      <c r="M2" s="16">
        <f>Recette1[[#This Row],[Kjoule]]*(Recette1[[#This Row],[%Recette]]/100)</f>
        <v>0</v>
      </c>
      <c r="N2" s="16">
        <f>Recette1[[#This Row],[Gras]]*(Recette1[[#This Row],[%Recette]]/100)</f>
        <v>0</v>
      </c>
      <c r="O2" s="16">
        <f>Recette1[[#This Row],[dont AGS]]*(Recette1[[#This Row],[%Recette]]/100)</f>
        <v>0</v>
      </c>
      <c r="P2" s="16">
        <f>Recette1[[#This Row],[Glucides]]*(Recette1[[#This Row],[%Recette]]/100)</f>
        <v>0</v>
      </c>
      <c r="Q2" s="16">
        <f>Recette1[[#This Row],[Dont sucres]]*(Recette1[[#This Row],[%Recette]]/100)</f>
        <v>0</v>
      </c>
      <c r="R2" s="16">
        <f>Recette1[[#This Row],[Protéines]]*(Recette1[[#This Row],[%Recette]]/100)</f>
        <v>0</v>
      </c>
      <c r="S2" s="16">
        <f>Recette1[[#This Row],[Sel]]*(Recette1[[#This Row],[%Recette]]/100)</f>
        <v>0</v>
      </c>
    </row>
    <row r="4" spans="1:19" x14ac:dyDescent="0.3">
      <c r="B4"/>
    </row>
    <row r="5" spans="1:19" x14ac:dyDescent="0.3">
      <c r="B5"/>
    </row>
    <row r="6" spans="1:1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</row>
    <row r="8" spans="1:19" x14ac:dyDescent="0.3">
      <c r="B8"/>
    </row>
    <row r="9" spans="1:19" x14ac:dyDescent="0.3">
      <c r="B9"/>
    </row>
    <row r="10" spans="1:19" x14ac:dyDescent="0.3">
      <c r="B10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86B-0916-4AA4-ABD2-4643C54F0400}">
  <sheetPr codeName="Feuil5"/>
  <dimension ref="A1:E102"/>
  <sheetViews>
    <sheetView showGridLines="0" workbookViewId="0">
      <selection activeCell="G7" sqref="G7"/>
    </sheetView>
  </sheetViews>
  <sheetFormatPr baseColWidth="10" defaultRowHeight="14.4" x14ac:dyDescent="0.3"/>
  <cols>
    <col min="1" max="5" width="16.6640625" customWidth="1"/>
    <col min="6" max="6" width="15.6640625" customWidth="1"/>
    <col min="7" max="7" width="19" customWidth="1"/>
  </cols>
  <sheetData>
    <row r="1" spans="1:5" x14ac:dyDescent="0.3">
      <c r="A1" s="1" t="s">
        <v>32</v>
      </c>
      <c r="B1" s="18" t="s">
        <v>30</v>
      </c>
      <c r="C1" s="18"/>
      <c r="D1" s="1" t="s">
        <v>27</v>
      </c>
      <c r="E1" s="8">
        <v>1</v>
      </c>
    </row>
    <row r="2" spans="1:5" x14ac:dyDescent="0.3">
      <c r="D2" s="14"/>
      <c r="E2" s="15"/>
    </row>
    <row r="3" spans="1:5" x14ac:dyDescent="0.3">
      <c r="D3" s="14"/>
      <c r="E3" s="15"/>
    </row>
    <row r="4" spans="1:5" ht="21" x14ac:dyDescent="0.4">
      <c r="A4" s="17" t="s">
        <v>3</v>
      </c>
      <c r="B4" s="17"/>
      <c r="C4" s="17"/>
      <c r="D4" s="17"/>
      <c r="E4" s="17"/>
    </row>
    <row r="5" spans="1:5" x14ac:dyDescent="0.3">
      <c r="A5" s="1" t="s">
        <v>7</v>
      </c>
      <c r="B5" s="7">
        <v>0</v>
      </c>
      <c r="C5" s="2" t="s">
        <v>4</v>
      </c>
      <c r="D5" s="9">
        <v>0</v>
      </c>
      <c r="E5" s="2" t="s">
        <v>5</v>
      </c>
    </row>
    <row r="6" spans="1:5" x14ac:dyDescent="0.3">
      <c r="A6" s="1" t="s">
        <v>8</v>
      </c>
      <c r="B6" s="7">
        <v>0</v>
      </c>
      <c r="C6" s="2" t="s">
        <v>9</v>
      </c>
      <c r="D6" s="18"/>
      <c r="E6" s="18"/>
    </row>
    <row r="7" spans="1:5" ht="28.8" x14ac:dyDescent="0.3">
      <c r="A7" s="3" t="s">
        <v>29</v>
      </c>
      <c r="B7" s="7">
        <v>0</v>
      </c>
      <c r="C7" s="2" t="s">
        <v>9</v>
      </c>
      <c r="D7" s="18"/>
      <c r="E7" s="18"/>
    </row>
    <row r="8" spans="1:5" x14ac:dyDescent="0.3">
      <c r="A8" s="1" t="s">
        <v>28</v>
      </c>
      <c r="B8" s="7">
        <v>0</v>
      </c>
      <c r="C8" s="2" t="s">
        <v>9</v>
      </c>
      <c r="D8" s="18"/>
      <c r="E8" s="18"/>
    </row>
    <row r="9" spans="1:5" x14ac:dyDescent="0.3">
      <c r="A9" s="1" t="s">
        <v>11</v>
      </c>
      <c r="B9" s="7">
        <v>0</v>
      </c>
      <c r="C9" s="2" t="s">
        <v>9</v>
      </c>
      <c r="D9" s="18"/>
      <c r="E9" s="18"/>
    </row>
    <row r="10" spans="1:5" x14ac:dyDescent="0.3">
      <c r="A10" s="1" t="s">
        <v>12</v>
      </c>
      <c r="B10" s="7">
        <v>0</v>
      </c>
      <c r="C10" s="2" t="s">
        <v>9</v>
      </c>
      <c r="D10" s="18"/>
      <c r="E10" s="18"/>
    </row>
    <row r="11" spans="1:5" x14ac:dyDescent="0.3">
      <c r="A11" s="1" t="s">
        <v>13</v>
      </c>
      <c r="B11" s="7">
        <v>0</v>
      </c>
      <c r="C11" s="2" t="s">
        <v>9</v>
      </c>
      <c r="D11" s="18"/>
      <c r="E11" s="18"/>
    </row>
    <row r="12" spans="1:5" ht="21" x14ac:dyDescent="0.4">
      <c r="A12" s="17" t="s">
        <v>31</v>
      </c>
      <c r="B12" s="17"/>
      <c r="C12" s="17"/>
      <c r="D12" s="17"/>
      <c r="E12" s="17"/>
    </row>
    <row r="13" spans="1:5" ht="15" customHeight="1" x14ac:dyDescent="0.3">
      <c r="A13" s="19" t="s">
        <v>34</v>
      </c>
      <c r="B13" s="20"/>
      <c r="C13" s="20"/>
      <c r="D13" s="20"/>
      <c r="E13" s="21"/>
    </row>
    <row r="14" spans="1:5" ht="15" customHeight="1" x14ac:dyDescent="0.3">
      <c r="A14" s="22"/>
      <c r="B14" s="23"/>
      <c r="C14" s="23"/>
      <c r="D14" s="23"/>
      <c r="E14" s="24"/>
    </row>
    <row r="15" spans="1:5" ht="15" customHeight="1" x14ac:dyDescent="0.3">
      <c r="A15" s="22"/>
      <c r="B15" s="23"/>
      <c r="C15" s="23"/>
      <c r="D15" s="23"/>
      <c r="E15" s="24"/>
    </row>
    <row r="16" spans="1:5" ht="15" customHeight="1" x14ac:dyDescent="0.3">
      <c r="A16" s="22"/>
      <c r="B16" s="23"/>
      <c r="C16" s="23"/>
      <c r="D16" s="23"/>
      <c r="E16" s="24"/>
    </row>
    <row r="17" spans="1:5" ht="15" customHeight="1" x14ac:dyDescent="0.3">
      <c r="A17" s="22"/>
      <c r="B17" s="23"/>
      <c r="C17" s="23"/>
      <c r="D17" s="23"/>
      <c r="E17" s="24"/>
    </row>
    <row r="18" spans="1:5" ht="15" customHeight="1" x14ac:dyDescent="0.3">
      <c r="A18" s="22"/>
      <c r="B18" s="23"/>
      <c r="C18" s="23"/>
      <c r="D18" s="23"/>
      <c r="E18" s="24"/>
    </row>
    <row r="19" spans="1:5" ht="15" customHeight="1" x14ac:dyDescent="0.3">
      <c r="A19" s="22"/>
      <c r="B19" s="23"/>
      <c r="C19" s="23"/>
      <c r="D19" s="23"/>
      <c r="E19" s="24"/>
    </row>
    <row r="20" spans="1:5" ht="15" customHeight="1" x14ac:dyDescent="0.3">
      <c r="A20" s="22"/>
      <c r="B20" s="23"/>
      <c r="C20" s="23"/>
      <c r="D20" s="23"/>
      <c r="E20" s="24"/>
    </row>
    <row r="21" spans="1:5" ht="15" customHeight="1" x14ac:dyDescent="0.3">
      <c r="A21" s="22"/>
      <c r="B21" s="23"/>
      <c r="C21" s="23"/>
      <c r="D21" s="23"/>
      <c r="E21" s="24"/>
    </row>
    <row r="22" spans="1:5" ht="15" customHeight="1" x14ac:dyDescent="0.3">
      <c r="A22" s="22"/>
      <c r="B22" s="23"/>
      <c r="C22" s="23"/>
      <c r="D22" s="23"/>
      <c r="E22" s="24"/>
    </row>
    <row r="23" spans="1:5" ht="15" customHeight="1" x14ac:dyDescent="0.3">
      <c r="A23" s="22"/>
      <c r="B23" s="23"/>
      <c r="C23" s="23"/>
      <c r="D23" s="23"/>
      <c r="E23" s="24"/>
    </row>
    <row r="24" spans="1:5" ht="15" customHeight="1" x14ac:dyDescent="0.3">
      <c r="A24" s="22"/>
      <c r="B24" s="23"/>
      <c r="C24" s="23"/>
      <c r="D24" s="23"/>
      <c r="E24" s="24"/>
    </row>
    <row r="25" spans="1:5" ht="15" customHeight="1" x14ac:dyDescent="0.3">
      <c r="A25" s="22"/>
      <c r="B25" s="23"/>
      <c r="C25" s="23"/>
      <c r="D25" s="23"/>
      <c r="E25" s="24"/>
    </row>
    <row r="26" spans="1:5" ht="15" customHeight="1" x14ac:dyDescent="0.3">
      <c r="A26" s="22"/>
      <c r="B26" s="23"/>
      <c r="C26" s="23"/>
      <c r="D26" s="23"/>
      <c r="E26" s="24"/>
    </row>
    <row r="27" spans="1:5" ht="15" customHeight="1" x14ac:dyDescent="0.3">
      <c r="A27" s="22"/>
      <c r="B27" s="23"/>
      <c r="C27" s="23"/>
      <c r="D27" s="23"/>
      <c r="E27" s="24"/>
    </row>
    <row r="28" spans="1:5" ht="15" customHeight="1" x14ac:dyDescent="0.3">
      <c r="A28" s="22"/>
      <c r="B28" s="23"/>
      <c r="C28" s="23"/>
      <c r="D28" s="23"/>
      <c r="E28" s="24"/>
    </row>
    <row r="29" spans="1:5" ht="15" customHeight="1" x14ac:dyDescent="0.3">
      <c r="A29" s="22"/>
      <c r="B29" s="23"/>
      <c r="C29" s="23"/>
      <c r="D29" s="23"/>
      <c r="E29" s="24"/>
    </row>
    <row r="30" spans="1:5" ht="15" customHeight="1" x14ac:dyDescent="0.3">
      <c r="A30" s="22"/>
      <c r="B30" s="23"/>
      <c r="C30" s="23"/>
      <c r="D30" s="23"/>
      <c r="E30" s="24"/>
    </row>
    <row r="31" spans="1:5" ht="15" customHeight="1" x14ac:dyDescent="0.3">
      <c r="A31" s="22"/>
      <c r="B31" s="23"/>
      <c r="C31" s="23"/>
      <c r="D31" s="23"/>
      <c r="E31" s="24"/>
    </row>
    <row r="32" spans="1:5" ht="15" customHeight="1" x14ac:dyDescent="0.3">
      <c r="A32" s="22"/>
      <c r="B32" s="23"/>
      <c r="C32" s="23"/>
      <c r="D32" s="23"/>
      <c r="E32" s="24"/>
    </row>
    <row r="33" spans="1:5" ht="15" customHeight="1" x14ac:dyDescent="0.3">
      <c r="A33" s="22"/>
      <c r="B33" s="23"/>
      <c r="C33" s="23"/>
      <c r="D33" s="23"/>
      <c r="E33" s="24"/>
    </row>
    <row r="34" spans="1:5" ht="15" customHeight="1" x14ac:dyDescent="0.3">
      <c r="A34" s="22"/>
      <c r="B34" s="23"/>
      <c r="C34" s="23"/>
      <c r="D34" s="23"/>
      <c r="E34" s="24"/>
    </row>
    <row r="35" spans="1:5" ht="15" customHeight="1" x14ac:dyDescent="0.3">
      <c r="A35" s="22"/>
      <c r="B35" s="23"/>
      <c r="C35" s="23"/>
      <c r="D35" s="23"/>
      <c r="E35" s="24"/>
    </row>
    <row r="36" spans="1:5" ht="15" customHeight="1" x14ac:dyDescent="0.3">
      <c r="A36" s="22"/>
      <c r="B36" s="23"/>
      <c r="C36" s="23"/>
      <c r="D36" s="23"/>
      <c r="E36" s="24"/>
    </row>
    <row r="37" spans="1:5" ht="15" customHeight="1" x14ac:dyDescent="0.3">
      <c r="A37" s="22"/>
      <c r="B37" s="23"/>
      <c r="C37" s="23"/>
      <c r="D37" s="23"/>
      <c r="E37" s="24"/>
    </row>
    <row r="38" spans="1:5" ht="15" customHeight="1" x14ac:dyDescent="0.3">
      <c r="A38" s="22"/>
      <c r="B38" s="23"/>
      <c r="C38" s="23"/>
      <c r="D38" s="23"/>
      <c r="E38" s="24"/>
    </row>
    <row r="39" spans="1:5" ht="15" customHeight="1" x14ac:dyDescent="0.3">
      <c r="A39" s="22"/>
      <c r="B39" s="23"/>
      <c r="C39" s="23"/>
      <c r="D39" s="23"/>
      <c r="E39" s="24"/>
    </row>
    <row r="40" spans="1:5" ht="15" customHeight="1" x14ac:dyDescent="0.3">
      <c r="A40" s="22"/>
      <c r="B40" s="23"/>
      <c r="C40" s="23"/>
      <c r="D40" s="23"/>
      <c r="E40" s="24"/>
    </row>
    <row r="41" spans="1:5" ht="15" customHeight="1" x14ac:dyDescent="0.3">
      <c r="A41" s="22"/>
      <c r="B41" s="23"/>
      <c r="C41" s="23"/>
      <c r="D41" s="23"/>
      <c r="E41" s="24"/>
    </row>
    <row r="42" spans="1:5" ht="15" customHeight="1" x14ac:dyDescent="0.3">
      <c r="A42" s="22"/>
      <c r="B42" s="23"/>
      <c r="C42" s="23"/>
      <c r="D42" s="23"/>
      <c r="E42" s="24"/>
    </row>
    <row r="43" spans="1:5" ht="15" customHeight="1" x14ac:dyDescent="0.3">
      <c r="A43" s="22"/>
      <c r="B43" s="23"/>
      <c r="C43" s="23"/>
      <c r="D43" s="23"/>
      <c r="E43" s="24"/>
    </row>
    <row r="44" spans="1:5" ht="15" customHeight="1" x14ac:dyDescent="0.3">
      <c r="A44" s="22"/>
      <c r="B44" s="23"/>
      <c r="C44" s="23"/>
      <c r="D44" s="23"/>
      <c r="E44" s="24"/>
    </row>
    <row r="45" spans="1:5" ht="15" customHeight="1" x14ac:dyDescent="0.3">
      <c r="A45" s="22"/>
      <c r="B45" s="23"/>
      <c r="C45" s="23"/>
      <c r="D45" s="23"/>
      <c r="E45" s="24"/>
    </row>
    <row r="46" spans="1:5" x14ac:dyDescent="0.3">
      <c r="A46" s="25"/>
      <c r="B46" s="26"/>
      <c r="C46" s="26"/>
      <c r="D46" s="26"/>
      <c r="E46" s="27"/>
    </row>
    <row r="47" spans="1:5" x14ac:dyDescent="0.3">
      <c r="A47" s="28"/>
      <c r="B47" s="28"/>
      <c r="C47" s="28"/>
      <c r="D47" s="28"/>
      <c r="E47" s="28"/>
    </row>
    <row r="48" spans="1:5" x14ac:dyDescent="0.3">
      <c r="A48" s="28"/>
      <c r="B48" s="28"/>
      <c r="C48" s="28"/>
      <c r="D48" s="28"/>
      <c r="E48" s="28"/>
    </row>
    <row r="49" spans="1:5" x14ac:dyDescent="0.3">
      <c r="A49" s="28"/>
      <c r="B49" s="28"/>
      <c r="C49" s="28"/>
      <c r="D49" s="28"/>
      <c r="E49" s="28"/>
    </row>
    <row r="50" spans="1:5" x14ac:dyDescent="0.3">
      <c r="A50" s="28"/>
      <c r="B50" s="28"/>
      <c r="C50" s="28"/>
      <c r="D50" s="28"/>
      <c r="E50" s="28"/>
    </row>
    <row r="51" spans="1:5" x14ac:dyDescent="0.3">
      <c r="A51" s="28"/>
      <c r="B51" s="28"/>
      <c r="C51" s="28"/>
      <c r="D51" s="28"/>
      <c r="E51" s="28"/>
    </row>
    <row r="52" spans="1:5" x14ac:dyDescent="0.3">
      <c r="A52" s="28"/>
      <c r="B52" s="28"/>
      <c r="C52" s="28"/>
      <c r="D52" s="28"/>
      <c r="E52" s="28"/>
    </row>
    <row r="53" spans="1:5" x14ac:dyDescent="0.3">
      <c r="A53" s="28"/>
      <c r="B53" s="28"/>
      <c r="C53" s="28"/>
      <c r="D53" s="28"/>
      <c r="E53" s="28"/>
    </row>
    <row r="54" spans="1:5" x14ac:dyDescent="0.3">
      <c r="A54" s="28"/>
      <c r="B54" s="28"/>
      <c r="C54" s="28"/>
      <c r="D54" s="28"/>
      <c r="E54" s="28"/>
    </row>
    <row r="55" spans="1:5" x14ac:dyDescent="0.3">
      <c r="A55" s="28"/>
      <c r="B55" s="28"/>
      <c r="C55" s="28"/>
      <c r="D55" s="28"/>
      <c r="E55" s="28"/>
    </row>
    <row r="56" spans="1:5" x14ac:dyDescent="0.3">
      <c r="A56" s="28"/>
      <c r="B56" s="28"/>
      <c r="C56" s="28"/>
      <c r="D56" s="28"/>
      <c r="E56" s="28"/>
    </row>
    <row r="57" spans="1:5" x14ac:dyDescent="0.3">
      <c r="A57" s="28"/>
      <c r="B57" s="28"/>
      <c r="C57" s="28"/>
      <c r="D57" s="28"/>
      <c r="E57" s="28"/>
    </row>
    <row r="58" spans="1:5" x14ac:dyDescent="0.3">
      <c r="A58" s="28"/>
      <c r="B58" s="28"/>
      <c r="C58" s="28"/>
      <c r="D58" s="28"/>
      <c r="E58" s="28"/>
    </row>
    <row r="59" spans="1:5" x14ac:dyDescent="0.3">
      <c r="A59" s="28"/>
      <c r="B59" s="28"/>
      <c r="C59" s="28"/>
      <c r="D59" s="28"/>
      <c r="E59" s="28"/>
    </row>
    <row r="60" spans="1:5" x14ac:dyDescent="0.3">
      <c r="A60" s="28"/>
      <c r="B60" s="28"/>
      <c r="C60" s="28"/>
      <c r="D60" s="28"/>
      <c r="E60" s="28"/>
    </row>
    <row r="61" spans="1:5" x14ac:dyDescent="0.3">
      <c r="A61" s="28"/>
      <c r="B61" s="28"/>
      <c r="C61" s="28"/>
      <c r="D61" s="28"/>
      <c r="E61" s="28"/>
    </row>
    <row r="62" spans="1:5" x14ac:dyDescent="0.3">
      <c r="A62" s="28"/>
      <c r="B62" s="28"/>
      <c r="C62" s="28"/>
      <c r="D62" s="28"/>
      <c r="E62" s="28"/>
    </row>
    <row r="63" spans="1:5" x14ac:dyDescent="0.3">
      <c r="A63" s="28"/>
      <c r="B63" s="28"/>
      <c r="C63" s="28"/>
      <c r="D63" s="28"/>
      <c r="E63" s="28"/>
    </row>
    <row r="64" spans="1:5" x14ac:dyDescent="0.3">
      <c r="A64" s="28"/>
      <c r="B64" s="28"/>
      <c r="C64" s="28"/>
      <c r="D64" s="28"/>
      <c r="E64" s="28"/>
    </row>
    <row r="65" spans="1:5" x14ac:dyDescent="0.3">
      <c r="A65" s="28"/>
      <c r="B65" s="28"/>
      <c r="C65" s="28"/>
      <c r="D65" s="28"/>
      <c r="E65" s="28"/>
    </row>
    <row r="66" spans="1:5" x14ac:dyDescent="0.3">
      <c r="A66" s="28"/>
      <c r="B66" s="28"/>
      <c r="C66" s="28"/>
      <c r="D66" s="28"/>
      <c r="E66" s="28"/>
    </row>
    <row r="67" spans="1:5" x14ac:dyDescent="0.3">
      <c r="A67" s="28"/>
      <c r="B67" s="28"/>
      <c r="C67" s="28"/>
      <c r="D67" s="28"/>
      <c r="E67" s="28"/>
    </row>
    <row r="68" spans="1:5" x14ac:dyDescent="0.3">
      <c r="A68" s="28"/>
      <c r="B68" s="28"/>
      <c r="C68" s="28"/>
      <c r="D68" s="28"/>
      <c r="E68" s="28"/>
    </row>
    <row r="69" spans="1:5" x14ac:dyDescent="0.3">
      <c r="A69" s="28"/>
      <c r="B69" s="28"/>
      <c r="C69" s="28"/>
      <c r="D69" s="28"/>
      <c r="E69" s="28"/>
    </row>
    <row r="70" spans="1:5" x14ac:dyDescent="0.3">
      <c r="A70" s="28"/>
      <c r="B70" s="28"/>
      <c r="C70" s="28"/>
      <c r="D70" s="28"/>
      <c r="E70" s="28"/>
    </row>
    <row r="71" spans="1:5" x14ac:dyDescent="0.3">
      <c r="A71" s="28"/>
      <c r="B71" s="28"/>
      <c r="C71" s="28"/>
      <c r="D71" s="28"/>
      <c r="E71" s="28"/>
    </row>
    <row r="72" spans="1:5" x14ac:dyDescent="0.3">
      <c r="A72" s="28"/>
      <c r="B72" s="28"/>
      <c r="C72" s="28"/>
      <c r="D72" s="28"/>
      <c r="E72" s="28"/>
    </row>
    <row r="73" spans="1:5" x14ac:dyDescent="0.3">
      <c r="A73" s="28"/>
      <c r="B73" s="28"/>
      <c r="C73" s="28"/>
      <c r="D73" s="28"/>
      <c r="E73" s="28"/>
    </row>
    <row r="74" spans="1:5" x14ac:dyDescent="0.3">
      <c r="A74" s="28"/>
      <c r="B74" s="28"/>
      <c r="C74" s="28"/>
      <c r="D74" s="28"/>
      <c r="E74" s="28"/>
    </row>
    <row r="75" spans="1:5" x14ac:dyDescent="0.3">
      <c r="A75" s="28"/>
      <c r="B75" s="28"/>
      <c r="C75" s="28"/>
      <c r="D75" s="28"/>
      <c r="E75" s="28"/>
    </row>
    <row r="76" spans="1:5" x14ac:dyDescent="0.3">
      <c r="A76" s="28"/>
      <c r="B76" s="28"/>
      <c r="C76" s="28"/>
      <c r="D76" s="28"/>
      <c r="E76" s="28"/>
    </row>
    <row r="77" spans="1:5" x14ac:dyDescent="0.3">
      <c r="A77" s="28"/>
      <c r="B77" s="28"/>
      <c r="C77" s="28"/>
      <c r="D77" s="28"/>
      <c r="E77" s="28"/>
    </row>
    <row r="78" spans="1:5" x14ac:dyDescent="0.3">
      <c r="A78" s="28"/>
      <c r="B78" s="28"/>
      <c r="C78" s="28"/>
      <c r="D78" s="28"/>
      <c r="E78" s="28"/>
    </row>
    <row r="79" spans="1:5" x14ac:dyDescent="0.3">
      <c r="A79" s="28"/>
      <c r="B79" s="28"/>
      <c r="C79" s="28"/>
      <c r="D79" s="28"/>
      <c r="E79" s="28"/>
    </row>
    <row r="80" spans="1:5" x14ac:dyDescent="0.3">
      <c r="A80" s="28"/>
      <c r="B80" s="28"/>
      <c r="C80" s="28"/>
      <c r="D80" s="28"/>
      <c r="E80" s="28"/>
    </row>
    <row r="81" spans="1:5" x14ac:dyDescent="0.3">
      <c r="A81" s="28"/>
      <c r="B81" s="28"/>
      <c r="C81" s="28"/>
      <c r="D81" s="28"/>
      <c r="E81" s="28"/>
    </row>
    <row r="82" spans="1:5" x14ac:dyDescent="0.3">
      <c r="A82" s="28"/>
      <c r="B82" s="28"/>
      <c r="C82" s="28"/>
      <c r="D82" s="28"/>
      <c r="E82" s="28"/>
    </row>
    <row r="83" spans="1:5" x14ac:dyDescent="0.3">
      <c r="A83" s="28"/>
      <c r="B83" s="28"/>
      <c r="C83" s="28"/>
      <c r="D83" s="28"/>
      <c r="E83" s="28"/>
    </row>
    <row r="84" spans="1:5" x14ac:dyDescent="0.3">
      <c r="A84" s="28"/>
      <c r="B84" s="28"/>
      <c r="C84" s="28"/>
      <c r="D84" s="28"/>
      <c r="E84" s="28"/>
    </row>
    <row r="85" spans="1:5" x14ac:dyDescent="0.3">
      <c r="A85" s="28"/>
      <c r="B85" s="28"/>
      <c r="C85" s="28"/>
      <c r="D85" s="28"/>
      <c r="E85" s="28"/>
    </row>
    <row r="86" spans="1:5" x14ac:dyDescent="0.3">
      <c r="A86" s="28"/>
      <c r="B86" s="28"/>
      <c r="C86" s="28"/>
      <c r="D86" s="28"/>
      <c r="E86" s="28"/>
    </row>
    <row r="87" spans="1:5" x14ac:dyDescent="0.3">
      <c r="A87" s="28"/>
      <c r="B87" s="28"/>
      <c r="C87" s="28"/>
      <c r="D87" s="28"/>
      <c r="E87" s="28"/>
    </row>
    <row r="88" spans="1:5" x14ac:dyDescent="0.3">
      <c r="A88" s="28"/>
      <c r="B88" s="28"/>
      <c r="C88" s="28"/>
      <c r="D88" s="28"/>
      <c r="E88" s="28"/>
    </row>
    <row r="89" spans="1:5" x14ac:dyDescent="0.3">
      <c r="A89" s="28"/>
      <c r="B89" s="28"/>
      <c r="C89" s="28"/>
      <c r="D89" s="28"/>
      <c r="E89" s="28"/>
    </row>
    <row r="90" spans="1:5" x14ac:dyDescent="0.3">
      <c r="A90" s="28"/>
      <c r="B90" s="28"/>
      <c r="C90" s="28"/>
      <c r="D90" s="28"/>
      <c r="E90" s="28"/>
    </row>
    <row r="91" spans="1:5" x14ac:dyDescent="0.3">
      <c r="A91" s="28"/>
      <c r="B91" s="28"/>
      <c r="C91" s="28"/>
      <c r="D91" s="28"/>
      <c r="E91" s="28"/>
    </row>
    <row r="92" spans="1:5" x14ac:dyDescent="0.3">
      <c r="A92" s="28"/>
      <c r="B92" s="28"/>
      <c r="C92" s="28"/>
      <c r="D92" s="28"/>
      <c r="E92" s="28"/>
    </row>
    <row r="93" spans="1:5" x14ac:dyDescent="0.3">
      <c r="A93" s="28"/>
      <c r="B93" s="28"/>
      <c r="C93" s="28"/>
      <c r="D93" s="28"/>
      <c r="E93" s="28"/>
    </row>
    <row r="94" spans="1:5" x14ac:dyDescent="0.3">
      <c r="A94" s="28"/>
      <c r="B94" s="28"/>
      <c r="C94" s="28"/>
      <c r="D94" s="28"/>
      <c r="E94" s="28"/>
    </row>
    <row r="95" spans="1:5" x14ac:dyDescent="0.3">
      <c r="A95" s="28"/>
      <c r="B95" s="28"/>
      <c r="C95" s="28"/>
      <c r="D95" s="28"/>
      <c r="E95" s="28"/>
    </row>
    <row r="96" spans="1:5" x14ac:dyDescent="0.3">
      <c r="A96" s="28"/>
      <c r="B96" s="28"/>
      <c r="C96" s="28"/>
      <c r="D96" s="28"/>
      <c r="E96" s="28"/>
    </row>
    <row r="97" spans="1:5" x14ac:dyDescent="0.3">
      <c r="A97" s="28"/>
      <c r="B97" s="28"/>
      <c r="C97" s="28"/>
      <c r="D97" s="28"/>
      <c r="E97" s="28"/>
    </row>
    <row r="98" spans="1:5" x14ac:dyDescent="0.3">
      <c r="A98" s="28"/>
      <c r="B98" s="28"/>
      <c r="C98" s="28"/>
      <c r="D98" s="28"/>
      <c r="E98" s="28"/>
    </row>
    <row r="99" spans="1:5" x14ac:dyDescent="0.3">
      <c r="A99" s="28"/>
      <c r="B99" s="28"/>
      <c r="C99" s="28"/>
      <c r="D99" s="28"/>
      <c r="E99" s="28"/>
    </row>
    <row r="100" spans="1:5" x14ac:dyDescent="0.3">
      <c r="A100" s="10"/>
      <c r="B100" s="10"/>
      <c r="C100" s="10"/>
      <c r="D100" s="28"/>
      <c r="E100" s="28"/>
    </row>
    <row r="101" spans="1:5" x14ac:dyDescent="0.3">
      <c r="A101" s="10"/>
      <c r="B101" s="10"/>
      <c r="C101" s="10"/>
      <c r="D101" s="28"/>
      <c r="E101" s="28"/>
    </row>
    <row r="102" spans="1:5" x14ac:dyDescent="0.3">
      <c r="A102" s="10"/>
      <c r="B102" s="10"/>
      <c r="C102" s="10"/>
      <c r="D102" s="29"/>
      <c r="E102" s="29"/>
    </row>
  </sheetData>
  <mergeCells count="114">
    <mergeCell ref="D85:E85"/>
    <mergeCell ref="D86:E86"/>
    <mergeCell ref="D87:E87"/>
    <mergeCell ref="D88:E88"/>
    <mergeCell ref="D89:E89"/>
    <mergeCell ref="D80:E80"/>
    <mergeCell ref="D81:E81"/>
    <mergeCell ref="D82:E82"/>
    <mergeCell ref="D83:E83"/>
    <mergeCell ref="D84:E84"/>
    <mergeCell ref="D100:E100"/>
    <mergeCell ref="D101:E101"/>
    <mergeCell ref="D102:E102"/>
    <mergeCell ref="D95:E95"/>
    <mergeCell ref="D96:E96"/>
    <mergeCell ref="D97:E97"/>
    <mergeCell ref="D98:E98"/>
    <mergeCell ref="D99:E99"/>
    <mergeCell ref="D90:E90"/>
    <mergeCell ref="D91:E91"/>
    <mergeCell ref="D92:E92"/>
    <mergeCell ref="D93:E93"/>
    <mergeCell ref="D94:E94"/>
    <mergeCell ref="D75:E75"/>
    <mergeCell ref="D76:E76"/>
    <mergeCell ref="D77:E77"/>
    <mergeCell ref="D78:E78"/>
    <mergeCell ref="D79:E79"/>
    <mergeCell ref="D70:E70"/>
    <mergeCell ref="D71:E71"/>
    <mergeCell ref="D72:E72"/>
    <mergeCell ref="D73:E73"/>
    <mergeCell ref="D74:E74"/>
    <mergeCell ref="D66:E66"/>
    <mergeCell ref="D67:E67"/>
    <mergeCell ref="D68:E68"/>
    <mergeCell ref="D69:E69"/>
    <mergeCell ref="D60:E60"/>
    <mergeCell ref="D61:E61"/>
    <mergeCell ref="D62:E62"/>
    <mergeCell ref="D63:E63"/>
    <mergeCell ref="D64:E64"/>
    <mergeCell ref="A98:C98"/>
    <mergeCell ref="A99:C99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A93:C93"/>
    <mergeCell ref="A94:C94"/>
    <mergeCell ref="A95:C95"/>
    <mergeCell ref="A96:C96"/>
    <mergeCell ref="A97:C97"/>
    <mergeCell ref="A88:C88"/>
    <mergeCell ref="A89:C89"/>
    <mergeCell ref="A90:C90"/>
    <mergeCell ref="D65:E65"/>
    <mergeCell ref="A91:C91"/>
    <mergeCell ref="A92:C92"/>
    <mergeCell ref="A83:C83"/>
    <mergeCell ref="A84:C84"/>
    <mergeCell ref="A85:C85"/>
    <mergeCell ref="A86:C86"/>
    <mergeCell ref="A87:C87"/>
    <mergeCell ref="A78:C78"/>
    <mergeCell ref="A79:C79"/>
    <mergeCell ref="A80:C80"/>
    <mergeCell ref="A81:C81"/>
    <mergeCell ref="A82:C82"/>
    <mergeCell ref="A74:C74"/>
    <mergeCell ref="A75:C75"/>
    <mergeCell ref="A76:C76"/>
    <mergeCell ref="A77:C77"/>
    <mergeCell ref="A68:C68"/>
    <mergeCell ref="A69:C69"/>
    <mergeCell ref="A70:C70"/>
    <mergeCell ref="A71:C71"/>
    <mergeCell ref="A72:C72"/>
    <mergeCell ref="A65:C65"/>
    <mergeCell ref="A66:C66"/>
    <mergeCell ref="A67:C67"/>
    <mergeCell ref="A58:C58"/>
    <mergeCell ref="A59:C59"/>
    <mergeCell ref="A60:C60"/>
    <mergeCell ref="A61:C61"/>
    <mergeCell ref="A62:C62"/>
    <mergeCell ref="A73:C73"/>
    <mergeCell ref="A56:C56"/>
    <mergeCell ref="A57:C57"/>
    <mergeCell ref="A48:C48"/>
    <mergeCell ref="A49:C49"/>
    <mergeCell ref="A50:C50"/>
    <mergeCell ref="A51:C51"/>
    <mergeCell ref="A52:C52"/>
    <mergeCell ref="A63:C63"/>
    <mergeCell ref="A64:C64"/>
    <mergeCell ref="A4:E4"/>
    <mergeCell ref="B1:C1"/>
    <mergeCell ref="A12:E12"/>
    <mergeCell ref="A13:E46"/>
    <mergeCell ref="D6:E11"/>
    <mergeCell ref="A47:C47"/>
    <mergeCell ref="A53:C53"/>
    <mergeCell ref="A54:C54"/>
    <mergeCell ref="A55:C5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83ACE-B8C7-46AA-8569-D35E0499DDAA}">
  <sheetPr codeName="Feuil6"/>
  <dimension ref="A1:I5"/>
  <sheetViews>
    <sheetView workbookViewId="0">
      <selection activeCell="I4" sqref="I4"/>
    </sheetView>
  </sheetViews>
  <sheetFormatPr baseColWidth="10" defaultRowHeight="14.4" x14ac:dyDescent="0.3"/>
  <cols>
    <col min="2" max="6" width="11.5546875" customWidth="1"/>
    <col min="7" max="7" width="12.6640625" customWidth="1"/>
    <col min="8" max="9" width="11.5546875" customWidth="1"/>
  </cols>
  <sheetData>
    <row r="1" spans="1:9" x14ac:dyDescent="0.3">
      <c r="A1" s="5" t="s">
        <v>0</v>
      </c>
      <c r="B1" s="5" t="s">
        <v>4</v>
      </c>
      <c r="C1" s="5" t="s">
        <v>14</v>
      </c>
      <c r="D1" s="5" t="s">
        <v>6</v>
      </c>
      <c r="E1" s="5" t="s">
        <v>18</v>
      </c>
      <c r="F1" s="5" t="s">
        <v>10</v>
      </c>
      <c r="G1" s="5" t="s">
        <v>15</v>
      </c>
      <c r="H1" s="5" t="s">
        <v>16</v>
      </c>
      <c r="I1" s="5" t="s">
        <v>17</v>
      </c>
    </row>
    <row r="2" spans="1:9" x14ac:dyDescent="0.3">
      <c r="A2" s="11" t="s">
        <v>34</v>
      </c>
      <c r="B2" s="11">
        <v>0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</row>
    <row r="3" spans="1:9" x14ac:dyDescent="0.3">
      <c r="A3" s="11" t="s">
        <v>35</v>
      </c>
      <c r="B3" s="11">
        <v>0</v>
      </c>
      <c r="C3" s="11">
        <v>0</v>
      </c>
      <c r="D3" s="11">
        <v>0</v>
      </c>
      <c r="E3" s="11">
        <v>0</v>
      </c>
      <c r="F3" s="11">
        <v>1</v>
      </c>
      <c r="G3" s="11">
        <v>0.8</v>
      </c>
      <c r="H3" s="11">
        <v>0.2</v>
      </c>
      <c r="I3" s="11">
        <v>0.1</v>
      </c>
    </row>
    <row r="4" spans="1:9" x14ac:dyDescent="0.3">
      <c r="A4" s="11" t="s">
        <v>33</v>
      </c>
      <c r="B4" s="11">
        <v>24</v>
      </c>
      <c r="C4" s="11">
        <v>113</v>
      </c>
      <c r="D4" s="11">
        <v>0</v>
      </c>
      <c r="E4" s="11">
        <v>0</v>
      </c>
      <c r="F4" s="11">
        <v>4.5</v>
      </c>
      <c r="G4" s="11">
        <v>3.9</v>
      </c>
      <c r="H4" s="11">
        <v>1.2</v>
      </c>
      <c r="I4" s="11">
        <v>0.05</v>
      </c>
    </row>
    <row r="5" spans="1:9" x14ac:dyDescent="0.3">
      <c r="A5" s="11" t="s">
        <v>36</v>
      </c>
      <c r="B5" s="11">
        <v>400</v>
      </c>
      <c r="C5" s="11">
        <v>1700</v>
      </c>
      <c r="D5" s="11">
        <v>0</v>
      </c>
      <c r="E5" s="11">
        <v>0</v>
      </c>
      <c r="F5" s="11">
        <v>100</v>
      </c>
      <c r="G5" s="11">
        <v>100</v>
      </c>
      <c r="H5" s="11">
        <v>0</v>
      </c>
      <c r="I5" s="1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Tablau de bord</vt:lpstr>
      <vt:lpstr>Recettes</vt:lpstr>
      <vt:lpstr>Stock</vt:lpstr>
      <vt:lpstr>Ing.Nutri!Zone_d_impression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JAY</dc:creator>
  <cp:lastModifiedBy>Samuel JAY</cp:lastModifiedBy>
  <cp:lastPrinted>2026-03-28T09:34:57Z</cp:lastPrinted>
  <dcterms:created xsi:type="dcterms:W3CDTF">2025-03-06T08:27:52Z</dcterms:created>
  <dcterms:modified xsi:type="dcterms:W3CDTF">2026-03-28T09:35:54Z</dcterms:modified>
</cp:coreProperties>
</file>